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/Sites/donkey/"/>
    </mc:Choice>
  </mc:AlternateContent>
  <xr:revisionPtr revIDLastSave="0" documentId="13_ncr:1_{B19A6109-3625-5C4D-BF62-AE06757058FC}" xr6:coauthVersionLast="36" xr6:coauthVersionMax="36" xr10:uidLastSave="{00000000-0000-0000-0000-000000000000}"/>
  <bookViews>
    <workbookView xWindow="10940" yWindow="460" windowWidth="24840" windowHeight="15000" xr2:uid="{1411EA5B-9758-5042-B1EC-900185C25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l="1"/>
  <c r="B8" i="1" s="1"/>
</calcChain>
</file>

<file path=xl/sharedStrings.xml><?xml version="1.0" encoding="utf-8"?>
<sst xmlns="http://schemas.openxmlformats.org/spreadsheetml/2006/main" count="17" uniqueCount="17">
  <si>
    <t>Total umbrella income</t>
  </si>
  <si>
    <t>Margin</t>
  </si>
  <si>
    <t>Employers NI &amp; Levy</t>
  </si>
  <si>
    <t>Employment income</t>
  </si>
  <si>
    <t>Gross pay</t>
  </si>
  <si>
    <t>PAYE &amp; NI deductions</t>
  </si>
  <si>
    <t>This is the amount of Employer's NI and Levy payable to HMRC based on Gross Pay</t>
  </si>
  <si>
    <t>PAYE employee take-home</t>
  </si>
  <si>
    <t>This is the amount invoiced by and paid to Umbrellaco Ltd and is made up of hours worked at agreed hourly/daily rates</t>
  </si>
  <si>
    <t>This is the income received by the umbrella for the services provided</t>
  </si>
  <si>
    <t>This is umbrella income minus applicable company deductions.</t>
  </si>
  <si>
    <t>Your gross pay consists of basic pay (based on National Minimum Wage), holiday pay, commission or any other statutory payments (if applicable)</t>
  </si>
  <si>
    <t>PAYE tax at source and employee's NI contribution</t>
  </si>
  <si>
    <t>What's left to feed the mortgage and the kids and pay for planes, hotels and sustenance</t>
  </si>
  <si>
    <t>Amount</t>
  </si>
  <si>
    <t>What is this?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</si>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</sst>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68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168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1982-10A2-5C4E-BD1D-50B4E9751F4E}">
  <dimension ref="A1:C8"/>
  <sheetViews>
    <sheetView tabSelected="1" workbookViewId="0">
      <selection activeCell="C15" sqref="C15"/>
    </sheetView>
  </sheetViews>
  <sheetFormatPr baseColWidth="10" defaultRowHeight="16" x14ac:dyDescent="0.2"/>
  <cols>
    <col min="1" max="1" width="24.1640625" style="1" customWidth="1"/>
    <col min="2" max="2" width="10.83203125" style="2"/>
    <col min="3" max="3" width="49.1640625" style="1" customWidth="1"/>
    <col min="4" max="16384" width="10.83203125" style="1"/>
  </cols>
  <sheetData>
    <row r="1" spans="1:3" s="3" customFormat="1" ht="17" x14ac:dyDescent="0.2">
      <c r="A1" s="3" t="s">
        <v>16</v>
      </c>
      <c r="B1" s="4" t="s">
        <v>14</v>
      </c>
      <c r="C1" s="3" t="s">
        <v>15</v>
      </c>
    </row>
    <row r="2" spans="1:3" ht="51" x14ac:dyDescent="0.2">
      <c r="A2" s="1" t="s">
        <v>0</v>
      </c>
      <c r="B2" s="2">
        <v>3000</v>
      </c>
      <c r="C2" s="1" t="s">
        <v>8</v>
      </c>
    </row>
    <row r="3" spans="1:3" ht="34" x14ac:dyDescent="0.2">
      <c r="A3" s="1" t="s">
        <v>1</v>
      </c>
      <c r="B3" s="2">
        <v>80</v>
      </c>
      <c r="C3" s="1" t="s">
        <v>9</v>
      </c>
    </row>
    <row r="4" spans="1:3" ht="34" x14ac:dyDescent="0.2">
      <c r="A4" s="1" t="s">
        <v>2</v>
      </c>
      <c r="B4" s="2">
        <f>B2*0.1159</f>
        <v>347.7</v>
      </c>
      <c r="C4" s="1" t="s">
        <v>6</v>
      </c>
    </row>
    <row r="5" spans="1:3" ht="34" x14ac:dyDescent="0.2">
      <c r="A5" s="1" t="s">
        <v>3</v>
      </c>
      <c r="B5" s="2">
        <f>B2-B3-B4</f>
        <v>2572.3000000000002</v>
      </c>
      <c r="C5" s="1" t="s">
        <v>10</v>
      </c>
    </row>
    <row r="6" spans="1:3" ht="51" x14ac:dyDescent="0.2">
      <c r="A6" s="1" t="s">
        <v>4</v>
      </c>
      <c r="B6" s="2">
        <f>B5</f>
        <v>2572.3000000000002</v>
      </c>
      <c r="C6" s="1" t="s">
        <v>11</v>
      </c>
    </row>
    <row r="7" spans="1:3" ht="17" x14ac:dyDescent="0.2">
      <c r="A7" s="1" t="s">
        <v>5</v>
      </c>
      <c r="B7" s="2">
        <f>B6*0.1621</f>
        <v>416.96983</v>
      </c>
      <c r="C7" s="1" t="s">
        <v>12</v>
      </c>
    </row>
    <row r="8" spans="1:3" s="3" customFormat="1" ht="34" x14ac:dyDescent="0.2">
      <c r="A8" s="3" t="s">
        <v>7</v>
      </c>
      <c r="B8" s="4">
        <f>B6-B7</f>
        <v>2155.3301700000002</v>
      </c>
      <c r="C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Kilby</dc:creator>
  <cp:lastModifiedBy>Ian Kilby</cp:lastModifiedBy>
  <dcterms:created xsi:type="dcterms:W3CDTF">2020-03-06T12:06:46Z</dcterms:created>
  <dcterms:modified xsi:type="dcterms:W3CDTF">2020-03-06T12:35:56Z</dcterms:modified>
</cp:coreProperties>
</file>